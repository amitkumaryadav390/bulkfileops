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man Kumar Yadav\Downloads\"/>
    </mc:Choice>
  </mc:AlternateContent>
  <xr:revisionPtr revIDLastSave="0" documentId="13_ncr:1_{0FEADCA1-5280-4B12-AA49-D89B72B290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" i="1" l="1"/>
  <c r="Z4" i="1" s="1"/>
  <c r="Y3" i="1"/>
  <c r="Z3" i="1" s="1"/>
  <c r="Y2" i="1"/>
  <c r="Z2" i="1" s="1"/>
</calcChain>
</file>

<file path=xl/sharedStrings.xml><?xml version="1.0" encoding="utf-8"?>
<sst xmlns="http://schemas.openxmlformats.org/spreadsheetml/2006/main" count="48" uniqueCount="42">
  <si>
    <t>Sr. No.</t>
  </si>
  <si>
    <t>BE Number</t>
  </si>
  <si>
    <t>BE Date</t>
  </si>
  <si>
    <t>Importer Name</t>
  </si>
  <si>
    <t>ADDRESS</t>
  </si>
  <si>
    <t>Eight Digit HS Code</t>
  </si>
  <si>
    <t>Full Item Description</t>
  </si>
  <si>
    <t>Assessable Value Amount</t>
  </si>
  <si>
    <t>Effective Rate of duty (BCD@35% + SWS@10% + IGST@28%)</t>
  </si>
  <si>
    <t>Duty Payable</t>
  </si>
  <si>
    <t>Differential Duty</t>
  </si>
  <si>
    <t>ABC</t>
  </si>
  <si>
    <t>S ABD NT</t>
  </si>
  <si>
    <t>Machines</t>
  </si>
  <si>
    <t>Chemicals</t>
  </si>
  <si>
    <t>UTT</t>
  </si>
  <si>
    <t>S TURO FMN</t>
  </si>
  <si>
    <t>Banana</t>
  </si>
  <si>
    <t>BCD Rate</t>
  </si>
  <si>
    <t>IGST Rate</t>
  </si>
  <si>
    <t>IEC Code</t>
  </si>
  <si>
    <t>CHA details</t>
  </si>
  <si>
    <t>Invoice Number</t>
  </si>
  <si>
    <t>Item Number</t>
  </si>
  <si>
    <t>QUANTITY</t>
  </si>
  <si>
    <t>Unit Price</t>
  </si>
  <si>
    <t>BCD Amount</t>
  </si>
  <si>
    <t>BCD Notification</t>
  </si>
  <si>
    <t>BCD Notification Serial Number</t>
  </si>
  <si>
    <t>IGST Amount</t>
  </si>
  <si>
    <t>IGST Notification</t>
  </si>
  <si>
    <t>IGST Notification Serial Number</t>
  </si>
  <si>
    <t>Total Duty Amount</t>
  </si>
  <si>
    <t>Apple</t>
  </si>
  <si>
    <t>Cabbage</t>
  </si>
  <si>
    <t>050/2017</t>
  </si>
  <si>
    <t>001/2017</t>
  </si>
  <si>
    <t>III40</t>
  </si>
  <si>
    <t>051/96</t>
  </si>
  <si>
    <t>III395</t>
  </si>
  <si>
    <t>III423</t>
  </si>
  <si>
    <t>96A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</si>
</sst>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22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1" xfId="0" applyNumberFormat="1" applyFont="1" applyBorder="1"/>
    <xf numFmtId="0" fontId="0" fillId="0" borderId="1" xfId="0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"/>
  <sheetViews>
    <sheetView tabSelected="1" workbookViewId="0">
      <selection activeCell="I5" sqref="I5"/>
    </sheetView>
  </sheetViews>
  <sheetFormatPr defaultRowHeight="14.4" x14ac:dyDescent="0.3"/>
  <cols>
    <col min="1" max="1" width="4.5546875" customWidth="1"/>
    <col min="2" max="2" width="7.88671875" bestFit="1" customWidth="1"/>
    <col min="3" max="3" width="9.5546875" bestFit="1" customWidth="1"/>
    <col min="4" max="4" width="10" bestFit="1" customWidth="1"/>
    <col min="5" max="5" width="8.44140625" bestFit="1" customWidth="1"/>
    <col min="12" max="12" width="0" hidden="1" customWidth="1"/>
  </cols>
  <sheetData>
    <row r="1" spans="1:26" s="7" customFormat="1" ht="129.6" x14ac:dyDescent="0.3">
      <c r="A1" s="6" t="s">
        <v>0</v>
      </c>
      <c r="B1" s="6" t="s">
        <v>1</v>
      </c>
      <c r="C1" s="6" t="s">
        <v>2</v>
      </c>
      <c r="D1" s="6" t="s">
        <v>20</v>
      </c>
      <c r="E1" s="6" t="s">
        <v>3</v>
      </c>
      <c r="F1" s="6" t="s">
        <v>4</v>
      </c>
      <c r="G1" s="6" t="s">
        <v>21</v>
      </c>
      <c r="H1" s="6" t="s">
        <v>5</v>
      </c>
      <c r="I1" s="6" t="s">
        <v>22</v>
      </c>
      <c r="J1" s="6" t="s">
        <v>23</v>
      </c>
      <c r="K1" s="6" t="s">
        <v>6</v>
      </c>
      <c r="L1" s="6" t="s">
        <v>24</v>
      </c>
      <c r="M1" s="6" t="s">
        <v>25</v>
      </c>
      <c r="N1" s="6" t="s">
        <v>7</v>
      </c>
      <c r="O1" s="6" t="s">
        <v>26</v>
      </c>
      <c r="P1" s="6" t="s">
        <v>18</v>
      </c>
      <c r="Q1" s="6" t="s">
        <v>27</v>
      </c>
      <c r="R1" s="6" t="s">
        <v>28</v>
      </c>
      <c r="S1" s="6" t="s">
        <v>29</v>
      </c>
      <c r="T1" s="6" t="s">
        <v>19</v>
      </c>
      <c r="U1" s="6" t="s">
        <v>30</v>
      </c>
      <c r="V1" s="6" t="s">
        <v>31</v>
      </c>
      <c r="W1" s="6" t="s">
        <v>32</v>
      </c>
      <c r="X1" s="6" t="s">
        <v>8</v>
      </c>
      <c r="Y1" s="6" t="s">
        <v>9</v>
      </c>
      <c r="Z1" s="6" t="s">
        <v>10</v>
      </c>
    </row>
    <row r="2" spans="1:26" x14ac:dyDescent="0.3">
      <c r="A2" s="1">
        <v>1</v>
      </c>
      <c r="B2" s="1">
        <v>8568569</v>
      </c>
      <c r="C2" s="2">
        <v>44350</v>
      </c>
      <c r="D2" s="9">
        <v>100000053</v>
      </c>
      <c r="E2" s="1" t="s">
        <v>11</v>
      </c>
      <c r="F2" s="1" t="s">
        <v>12</v>
      </c>
      <c r="G2" s="1" t="s">
        <v>13</v>
      </c>
      <c r="H2" s="3">
        <v>85444999</v>
      </c>
      <c r="I2" s="8">
        <v>55</v>
      </c>
      <c r="J2" s="5">
        <v>1</v>
      </c>
      <c r="K2" s="1" t="s">
        <v>33</v>
      </c>
      <c r="L2" s="4">
        <v>0.77280000000000004</v>
      </c>
      <c r="M2" s="1">
        <v>15</v>
      </c>
      <c r="N2" s="9">
        <v>849.06</v>
      </c>
      <c r="O2" s="9">
        <v>63.7</v>
      </c>
      <c r="P2" s="9">
        <v>7.5</v>
      </c>
      <c r="Q2" s="9" t="s">
        <v>35</v>
      </c>
      <c r="R2" s="9">
        <v>185</v>
      </c>
      <c r="S2" s="9">
        <v>165.4</v>
      </c>
      <c r="T2" s="9">
        <v>18</v>
      </c>
      <c r="U2" s="9" t="s">
        <v>36</v>
      </c>
      <c r="V2" s="9" t="s">
        <v>37</v>
      </c>
      <c r="W2" s="9">
        <v>235.5</v>
      </c>
      <c r="X2" s="10">
        <v>0.77280000000000004</v>
      </c>
      <c r="Y2" s="11">
        <f>N2*X2</f>
        <v>656.15356799999995</v>
      </c>
      <c r="Z2" s="11">
        <f>Y2-W2</f>
        <v>420.65356799999995</v>
      </c>
    </row>
    <row r="3" spans="1:26" x14ac:dyDescent="0.3">
      <c r="A3" s="1">
        <v>2</v>
      </c>
      <c r="B3" s="1">
        <v>8568569</v>
      </c>
      <c r="C3" s="2">
        <v>44350</v>
      </c>
      <c r="D3" s="9">
        <v>100000053</v>
      </c>
      <c r="E3" s="1" t="s">
        <v>11</v>
      </c>
      <c r="F3" s="1" t="s">
        <v>12</v>
      </c>
      <c r="G3" s="1" t="s">
        <v>14</v>
      </c>
      <c r="H3" s="1">
        <v>83249099</v>
      </c>
      <c r="I3" s="8">
        <v>480</v>
      </c>
      <c r="J3" s="5">
        <v>2</v>
      </c>
      <c r="K3" s="1" t="s">
        <v>34</v>
      </c>
      <c r="L3" s="4">
        <v>0.77280000000000004</v>
      </c>
      <c r="M3" s="1">
        <v>20</v>
      </c>
      <c r="N3" s="9">
        <v>25680.45</v>
      </c>
      <c r="O3" s="9">
        <v>1284</v>
      </c>
      <c r="P3" s="9">
        <v>5</v>
      </c>
      <c r="Q3" s="9" t="s">
        <v>38</v>
      </c>
      <c r="R3" s="9">
        <v>1</v>
      </c>
      <c r="S3" s="9">
        <v>0</v>
      </c>
      <c r="T3" s="9">
        <v>0</v>
      </c>
      <c r="U3" s="9" t="s">
        <v>36</v>
      </c>
      <c r="V3" s="9" t="s">
        <v>39</v>
      </c>
      <c r="W3" s="9">
        <v>1412.4</v>
      </c>
      <c r="X3" s="10">
        <v>0.77280000000000004</v>
      </c>
      <c r="Y3" s="11">
        <f t="shared" ref="Y3:Y4" si="0">N3*X3</f>
        <v>19845.851760000001</v>
      </c>
      <c r="Z3" s="11">
        <f t="shared" ref="Z3:Z4" si="1">Y3-W3</f>
        <v>18433.45176</v>
      </c>
    </row>
    <row r="4" spans="1:26" x14ac:dyDescent="0.3">
      <c r="A4" s="1">
        <v>3</v>
      </c>
      <c r="B4" s="1">
        <v>9002685</v>
      </c>
      <c r="C4" s="2">
        <v>44411</v>
      </c>
      <c r="D4" s="9">
        <v>100000053</v>
      </c>
      <c r="E4" s="1" t="s">
        <v>15</v>
      </c>
      <c r="F4" s="1" t="s">
        <v>16</v>
      </c>
      <c r="G4" s="1" t="s">
        <v>17</v>
      </c>
      <c r="H4" s="1">
        <v>69852480</v>
      </c>
      <c r="I4" s="8" t="s">
        <v>41</v>
      </c>
      <c r="J4" s="5">
        <v>1</v>
      </c>
      <c r="K4" s="1" t="s">
        <v>17</v>
      </c>
      <c r="L4" s="4">
        <v>0.77280000000000004</v>
      </c>
      <c r="M4" s="1">
        <v>18</v>
      </c>
      <c r="N4" s="9">
        <v>7594.13</v>
      </c>
      <c r="O4" s="9">
        <v>379.7</v>
      </c>
      <c r="P4" s="9">
        <v>5</v>
      </c>
      <c r="Q4" s="9" t="s">
        <v>38</v>
      </c>
      <c r="R4" s="9">
        <v>1</v>
      </c>
      <c r="S4" s="9">
        <v>0</v>
      </c>
      <c r="T4" s="9">
        <v>0</v>
      </c>
      <c r="U4" s="9" t="s">
        <v>36</v>
      </c>
      <c r="V4" s="9" t="s">
        <v>40</v>
      </c>
      <c r="W4" s="9">
        <v>417.7</v>
      </c>
      <c r="X4" s="10">
        <v>0.77280000000000004</v>
      </c>
      <c r="Y4" s="11">
        <f t="shared" si="0"/>
        <v>5868.7436640000005</v>
      </c>
      <c r="Z4" s="11">
        <f t="shared" si="1"/>
        <v>5451.0436640000007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Aman Yadav</cp:lastModifiedBy>
  <dcterms:created xsi:type="dcterms:W3CDTF">2015-06-05T18:17:20Z</dcterms:created>
  <dcterms:modified xsi:type="dcterms:W3CDTF">2025-12-23T15:26:28Z</dcterms:modified>
</cp:coreProperties>
</file>