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8D74440-9689-4FD5-B397-3F1DE2AB3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<sst xmlns="http://schemas.openxmlformats.org/spreadsheetml/2006/main" count="23" uniqueCount="21">
  <si>
    <t>Sr. No.</t>
  </si>
  <si>
    <t>BE Number</t>
  </si>
  <si>
    <t>BE Date</t>
  </si>
  <si>
    <t>Importer Name</t>
  </si>
  <si>
    <t>ADDRESS</t>
  </si>
  <si>
    <t>Eight Digit HS Code</t>
  </si>
  <si>
    <t>Full Item Description</t>
  </si>
  <si>
    <t>Assessable Value Amount</t>
  </si>
  <si>
    <t>Total Duty Paid Amount</t>
  </si>
  <si>
    <t>Effective Rate of duty (BCD@35% + SWS@10% + IGST@28%)</t>
  </si>
  <si>
    <t>Duty Payable</t>
  </si>
  <si>
    <t>Differential Duty</t>
  </si>
  <si>
    <t>ABC</t>
  </si>
  <si>
    <t>S ABD NT</t>
  </si>
  <si>
    <t>Machines</t>
  </si>
  <si>
    <t>Chemicals</t>
  </si>
  <si>
    <t>UTT</t>
  </si>
  <si>
    <t>S TURO FMN</t>
  </si>
  <si>
    <t>Banana</t>
  </si>
  <si>
    <t>BCD Rate</t>
  </si>
  <si>
    <t>IGST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</si>
</sst>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9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4" sqref="N4"/>
    </sheetView>
  </sheetViews>
  <sheetFormatPr defaultRowHeight="15" x14ac:dyDescent="0.25"/>
  <cols>
    <col min="1" max="1" width="4.5703125" customWidth="1"/>
    <col min="3" max="3" width="12.85546875" bestFit="1" customWidth="1"/>
    <col min="12" max="12" width="0" hidden="1" customWidth="1"/>
  </cols>
  <sheetData>
    <row r="1" spans="1:14" ht="6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6" t="s">
        <v>20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>
        <v>1</v>
      </c>
      <c r="B2" s="2">
        <v>8568569</v>
      </c>
      <c r="C2" s="3">
        <v>44350</v>
      </c>
      <c r="D2" s="2" t="s">
        <v>12</v>
      </c>
      <c r="E2" s="2" t="s">
        <v>13</v>
      </c>
      <c r="F2" s="4">
        <v>85444999</v>
      </c>
      <c r="G2" s="2" t="s">
        <v>14</v>
      </c>
      <c r="H2" s="2">
        <v>8658</v>
      </c>
      <c r="I2" s="7">
        <v>0</v>
      </c>
      <c r="J2" s="6">
        <v>0</v>
      </c>
      <c r="K2" s="2">
        <v>300</v>
      </c>
      <c r="L2" s="5">
        <v>0.77280000000000004</v>
      </c>
      <c r="M2" s="2">
        <f>H2*L2</f>
        <v>6690.9023999999999</v>
      </c>
      <c r="N2" s="2">
        <f>M2-K2</f>
        <v>6390.9023999999999</v>
      </c>
    </row>
    <row r="3" spans="1:14" x14ac:dyDescent="0.25">
      <c r="A3" s="2">
        <v>2</v>
      </c>
      <c r="B3" s="2">
        <v>8568569</v>
      </c>
      <c r="C3" s="3">
        <v>44350</v>
      </c>
      <c r="D3" s="2" t="s">
        <v>12</v>
      </c>
      <c r="E3" s="2" t="s">
        <v>13</v>
      </c>
      <c r="F3" s="2">
        <v>83249099</v>
      </c>
      <c r="G3" s="2" t="s">
        <v>15</v>
      </c>
      <c r="H3" s="2">
        <v>69475</v>
      </c>
      <c r="I3" s="7">
        <v>0.05</v>
      </c>
      <c r="J3" s="6">
        <v>5</v>
      </c>
      <c r="K3" s="2">
        <v>8567</v>
      </c>
      <c r="L3" s="5">
        <v>0.77280000000000004</v>
      </c>
      <c r="M3" s="2">
        <f>H3*L3</f>
        <v>53690.280000000006</v>
      </c>
      <c r="N3" s="2">
        <f>M3-K3</f>
        <v>45123.280000000006</v>
      </c>
    </row>
    <row r="4" spans="1:14" x14ac:dyDescent="0.25">
      <c r="A4" s="2">
        <v>3</v>
      </c>
      <c r="B4" s="2">
        <v>9002685</v>
      </c>
      <c r="C4" s="3">
        <v>44411</v>
      </c>
      <c r="D4" s="2" t="s">
        <v>16</v>
      </c>
      <c r="E4" s="2" t="s">
        <v>17</v>
      </c>
      <c r="F4" s="2">
        <v>69852480</v>
      </c>
      <c r="G4" s="2" t="s">
        <v>18</v>
      </c>
      <c r="H4" s="2">
        <v>12856</v>
      </c>
      <c r="I4" s="8">
        <v>7.4999999999999997E-2</v>
      </c>
      <c r="J4" s="6">
        <v>18</v>
      </c>
      <c r="K4" s="2">
        <v>5703</v>
      </c>
      <c r="L4" s="5">
        <v>0.77280000000000004</v>
      </c>
      <c r="M4" s="2">
        <f>H4*L4</f>
        <v>9935.1167999999998</v>
      </c>
      <c r="N4" s="2">
        <f>M4-K4</f>
        <v>4232.1167999999998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2025-12-18T09:50:45Z</dcterms:modified>
</cp:coreProperties>
</file>